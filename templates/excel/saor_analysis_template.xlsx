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jppanasonic-my.sharepoint.com/personal/yoshimura_kanako_jp_panasonic_com/Documents/parameter_identification_2/templates/excel/"/>
    </mc:Choice>
  </mc:AlternateContent>
  <xr:revisionPtr revIDLastSave="1" documentId="8_{7855F66A-ED8A-4012-8375-1BAB4C1634EC}" xr6:coauthVersionLast="47" xr6:coauthVersionMax="47" xr10:uidLastSave="{4D8A3051-5A06-405C-9019-7CD7177E9D3D}"/>
  <bookViews>
    <workbookView xWindow="26260" yWindow="-18660" windowWidth="12140" windowHeight="16820" activeTab="2" xr2:uid="{A57E491E-7D00-4A72-8001-0A14F63F3024}"/>
  </bookViews>
  <sheets>
    <sheet name="設定・集計" sheetId="1" r:id="rId1"/>
    <sheet name="csv出力用" sheetId="11" r:id="rId2"/>
    <sheet name="1" sheetId="2" r:id="rId3"/>
    <sheet name="2" sheetId="3" r:id="rId4"/>
    <sheet name="3" sheetId="4" r:id="rId5"/>
    <sheet name="4" sheetId="5" r:id="rId6"/>
    <sheet name="5" sheetId="6" r:id="rId7"/>
    <sheet name="6" sheetId="7" r:id="rId8"/>
    <sheet name="7" sheetId="8" r:id="rId9"/>
    <sheet name="8" sheetId="9" r:id="rId10"/>
    <sheet name="9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0" l="1"/>
  <c r="K2" i="10" a="1"/>
  <c r="K2" i="10" s="1"/>
  <c r="Q2" i="10" s="1"/>
  <c r="Q3" i="10" s="1"/>
  <c r="I2" i="10"/>
  <c r="N1" i="10"/>
  <c r="M1" i="10"/>
  <c r="L1" i="10"/>
  <c r="K1" i="10"/>
  <c r="I3" i="9"/>
  <c r="I2" i="9"/>
  <c r="K2" i="9" s="1" a="1"/>
  <c r="K2" i="9" s="1"/>
  <c r="Q2" i="9" s="1"/>
  <c r="Q3" i="9" s="1"/>
  <c r="N1" i="9"/>
  <c r="M1" i="9"/>
  <c r="L1" i="9"/>
  <c r="K1" i="9"/>
  <c r="I3" i="8"/>
  <c r="K2" i="8" a="1"/>
  <c r="K2" i="8" s="1"/>
  <c r="Q2" i="8" s="1"/>
  <c r="Q3" i="8" s="1"/>
  <c r="I2" i="8"/>
  <c r="N1" i="8"/>
  <c r="M1" i="8"/>
  <c r="L1" i="8"/>
  <c r="K1" i="8"/>
  <c r="I3" i="7"/>
  <c r="I2" i="7"/>
  <c r="K2" i="7" s="1" a="1"/>
  <c r="K2" i="7" s="1"/>
  <c r="Q2" i="7" s="1"/>
  <c r="Q3" i="7" s="1"/>
  <c r="N1" i="7"/>
  <c r="M1" i="7"/>
  <c r="L1" i="7"/>
  <c r="K1" i="7"/>
  <c r="I3" i="6"/>
  <c r="I2" i="6"/>
  <c r="K2" i="6" s="1" a="1"/>
  <c r="K2" i="6" s="1"/>
  <c r="Q2" i="6" s="1"/>
  <c r="Q3" i="6" s="1"/>
  <c r="N1" i="6"/>
  <c r="M1" i="6"/>
  <c r="L1" i="6"/>
  <c r="K1" i="6"/>
  <c r="I3" i="5"/>
  <c r="I2" i="5"/>
  <c r="K2" i="5" s="1" a="1"/>
  <c r="K2" i="5" s="1"/>
  <c r="Q2" i="5" s="1"/>
  <c r="Q3" i="5" s="1"/>
  <c r="N1" i="5"/>
  <c r="M1" i="5"/>
  <c r="L1" i="5"/>
  <c r="K1" i="5"/>
  <c r="I3" i="4"/>
  <c r="I2" i="4"/>
  <c r="K2" i="4" s="1" a="1"/>
  <c r="K2" i="4" s="1"/>
  <c r="Q2" i="4" s="1"/>
  <c r="Q3" i="4" s="1"/>
  <c r="N1" i="4"/>
  <c r="M1" i="4"/>
  <c r="L1" i="4"/>
  <c r="K1" i="4"/>
  <c r="I3" i="3"/>
  <c r="I2" i="3"/>
  <c r="K2" i="3" s="1" a="1"/>
  <c r="K2" i="3" s="1"/>
  <c r="Q2" i="3" s="1"/>
  <c r="Q3" i="3" s="1"/>
  <c r="N1" i="3"/>
  <c r="M1" i="3"/>
  <c r="L1" i="3"/>
  <c r="K1" i="3"/>
  <c r="I3" i="2"/>
  <c r="I2" i="2"/>
  <c r="K2" i="2" s="1" a="1"/>
  <c r="K2" i="2" s="1"/>
  <c r="Q2" i="2" s="1"/>
  <c r="Q3" i="2" s="1"/>
  <c r="N1" i="2"/>
  <c r="M1" i="2"/>
  <c r="L1" i="2"/>
  <c r="K1" i="2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2" i="11"/>
  <c r="A2" i="11"/>
  <c r="C1" i="11"/>
  <c r="B1" i="11"/>
  <c r="A1" i="1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J5" i="1" a="1"/>
  <c r="J8" i="1" a="1"/>
  <c r="J9" i="1" a="1"/>
  <c r="J2" i="1" a="1"/>
  <c r="J4" i="1" a="1"/>
  <c r="J7" i="1" a="1"/>
  <c r="J3" i="1" a="1"/>
  <c r="J10" i="1" a="1"/>
  <c r="J6" i="1" a="1"/>
  <c r="J7" i="1" l="1"/>
  <c r="J2" i="1"/>
  <c r="J8" i="1"/>
  <c r="J5" i="1"/>
  <c r="J3" i="1"/>
  <c r="J10" i="1"/>
  <c r="J9" i="1"/>
  <c r="J4" i="1"/>
  <c r="J6" i="1"/>
  <c r="O4" i="1" l="1"/>
  <c r="C6" i="11"/>
  <c r="C4" i="11"/>
  <c r="P3" i="1"/>
  <c r="O5" i="1"/>
  <c r="C9" i="11"/>
  <c r="C10" i="11"/>
  <c r="P5" i="1"/>
  <c r="C3" i="11"/>
  <c r="O3" i="1"/>
  <c r="C5" i="11"/>
  <c r="N4" i="1"/>
  <c r="C8" i="11"/>
  <c r="N5" i="1"/>
  <c r="N3" i="1"/>
  <c r="C2" i="11"/>
  <c r="P4" i="1"/>
  <c r="C7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<sst xmlns="http://schemas.openxmlformats.org/spreadsheetml/2006/main" count="67" uniqueCount="17">
  <si>
    <t>転がり抵抗</t>
    <rPh sb="0" eb="1">
      <t>コロ</t>
    </rPh>
    <rPh sb="3" eb="5">
      <t>テイコウ</t>
    </rPh>
    <phoneticPr fontId="2"/>
  </si>
  <si>
    <t>動摩擦係数</t>
    <rPh sb="3" eb="5">
      <t>ケイスウ</t>
    </rPh>
    <phoneticPr fontId="2"/>
  </si>
  <si>
    <t>静止摩擦係数</t>
    <rPh sb="4" eb="6">
      <t>ケイスウ</t>
    </rPh>
    <phoneticPr fontId="2"/>
  </si>
  <si>
    <t>動摩擦係数</t>
    <rPh sb="0" eb="1">
      <t>ドウ</t>
    </rPh>
    <rPh sb="1" eb="3">
      <t>マサツ</t>
    </rPh>
    <rPh sb="3" eb="5">
      <t>ケイスウ</t>
    </rPh>
    <phoneticPr fontId="2"/>
  </si>
  <si>
    <t>下限</t>
    <rPh sb="0" eb="2">
      <t>カゲン</t>
    </rPh>
    <phoneticPr fontId="2"/>
  </si>
  <si>
    <t>上限</t>
    <rPh sb="0" eb="2">
      <t>ジョウゲン</t>
    </rPh>
    <phoneticPr fontId="2"/>
  </si>
  <si>
    <t>データ抽出</t>
    <rPh sb="3" eb="5">
      <t>チュウシュツ</t>
    </rPh>
    <phoneticPr fontId="2"/>
  </si>
  <si>
    <t>安息角</t>
    <rPh sb="0" eb="3">
      <t>アンソクカク</t>
    </rPh>
    <phoneticPr fontId="2"/>
  </si>
  <si>
    <t>ピーク比</t>
    <rPh sb="3" eb="4">
      <t>ヒ</t>
    </rPh>
    <phoneticPr fontId="2"/>
  </si>
  <si>
    <t>設定</t>
    <rPh sb="0" eb="2">
      <t>セッテイ</t>
    </rPh>
    <phoneticPr fontId="2"/>
  </si>
  <si>
    <t>データ抽出下限</t>
    <rPh sb="3" eb="5">
      <t>チュウシュツ</t>
    </rPh>
    <rPh sb="5" eb="7">
      <t>カゲン</t>
    </rPh>
    <phoneticPr fontId="2"/>
  </si>
  <si>
    <t>データ抽出上限</t>
    <rPh sb="3" eb="5">
      <t>チュウシュツ</t>
    </rPh>
    <rPh sb="5" eb="7">
      <t>ジョウゲン</t>
    </rPh>
    <phoneticPr fontId="2"/>
  </si>
  <si>
    <t>シート名</t>
    <rPh sb="3" eb="4">
      <t>メイ</t>
    </rPh>
    <phoneticPr fontId="1"/>
  </si>
  <si>
    <t>備考</t>
    <rPh sb="0" eb="2">
      <t>ビコウ</t>
    </rPh>
    <phoneticPr fontId="2"/>
  </si>
  <si>
    <t>条件</t>
    <rPh sb="0" eb="2">
      <t>ジョウケン</t>
    </rPh>
    <phoneticPr fontId="2"/>
  </si>
  <si>
    <t>安息角計算</t>
    <rPh sb="0" eb="2">
      <t>アンソク</t>
    </rPh>
    <rPh sb="2" eb="3">
      <t>カク</t>
    </rPh>
    <rPh sb="3" eb="5">
      <t>ケイサン</t>
    </rPh>
    <phoneticPr fontId="2"/>
  </si>
  <si>
    <t>安息角タンジェント(傾き)</t>
    <rPh sb="0" eb="2">
      <t>アンソク</t>
    </rPh>
    <rPh sb="2" eb="3">
      <t>カク</t>
    </rPh>
    <rPh sb="10" eb="11">
      <t>カタム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</si>
</sst>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_);[Red]\(0.00000\)"/>
    <numFmt numFmtId="177" formatCode="0.000_);[Red]\(0.000\)"/>
    <numFmt numFmtId="178" formatCode="0.00000"/>
  </numFmts>
  <fonts count="3" x14ac:knownFonts="1">
    <font>
      <sz val="11"/>
      <color theme="1"/>
      <name val="メイリオ"/>
      <family val="2"/>
      <charset val="128"/>
      <scheme val="minor"/>
    </font>
    <font>
      <b/>
      <sz val="15"/>
      <color theme="3"/>
      <name val="メイリオ"/>
      <family val="2"/>
      <charset val="128"/>
      <scheme val="minor"/>
    </font>
    <font>
      <sz val="6"/>
      <name val="メイリオ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3" xfId="0" applyNumberFormat="1" applyBorder="1">
      <alignment vertical="center"/>
    </xf>
    <xf numFmtId="0" fontId="0" fillId="2" borderId="6" xfId="0" applyFill="1" applyBorder="1">
      <alignment vertical="center"/>
    </xf>
    <xf numFmtId="178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4D93-9330-45A5-B26F-13FA8AD56E1E}">
  <dimension ref="A1:P22"/>
  <sheetViews>
    <sheetView workbookViewId="0">
      <selection activeCell="J12" sqref="J12"/>
    </sheetView>
  </sheetViews>
  <sheetFormatPr defaultRowHeight="17.399999999999999" x14ac:dyDescent="0.5"/>
  <cols>
    <col min="1" max="1" width="13" bestFit="1" customWidth="1"/>
    <col min="6" max="6" width="10.08984375" bestFit="1" customWidth="1"/>
    <col min="7" max="7" width="11.1796875" bestFit="1" customWidth="1"/>
    <col min="8" max="8" width="10.08984375" bestFit="1" customWidth="1"/>
    <col min="9" max="9" width="10.08984375" customWidth="1"/>
  </cols>
  <sheetData>
    <row r="1" spans="1:16" x14ac:dyDescent="0.5">
      <c r="A1" t="s">
        <v>9</v>
      </c>
      <c r="D1" t="s">
        <v>14</v>
      </c>
      <c r="E1" t="s">
        <v>0</v>
      </c>
      <c r="F1" t="s">
        <v>1</v>
      </c>
      <c r="G1" t="s">
        <v>2</v>
      </c>
      <c r="H1" t="s">
        <v>12</v>
      </c>
      <c r="I1" t="s">
        <v>13</v>
      </c>
      <c r="J1" t="s">
        <v>7</v>
      </c>
      <c r="L1" s="8"/>
      <c r="M1" s="9"/>
      <c r="N1" s="12" t="s">
        <v>3</v>
      </c>
      <c r="O1" s="12"/>
      <c r="P1" s="12"/>
    </row>
    <row r="2" spans="1:16" ht="18" thickBot="1" x14ac:dyDescent="0.55000000000000004">
      <c r="D2">
        <v>1</v>
      </c>
      <c r="E2">
        <v>0.2</v>
      </c>
      <c r="F2">
        <v>0.2</v>
      </c>
      <c r="G2" s="7">
        <f t="shared" ref="G2:G10" si="0">ROUND(F2*$B$3,5)</f>
        <v>0.21965999999999999</v>
      </c>
      <c r="H2">
        <f>D2</f>
        <v>1</v>
      </c>
      <c r="J2" t="e" cm="1">
        <f t="array" aca="1" ref="J2" ca="1">INDIRECT(_xlfn.CONCAT(H2,"!Q3"))</f>
        <v>#VALUE!</v>
      </c>
      <c r="L2" s="10"/>
      <c r="M2" s="11"/>
      <c r="N2" s="1">
        <v>0.2</v>
      </c>
      <c r="O2" s="1">
        <v>0.45</v>
      </c>
      <c r="P2" s="1">
        <v>0.7</v>
      </c>
    </row>
    <row r="3" spans="1:16" ht="18" thickBot="1" x14ac:dyDescent="0.55000000000000004">
      <c r="A3" t="s">
        <v>8</v>
      </c>
      <c r="B3" s="6">
        <v>1.0983000000000001</v>
      </c>
      <c r="D3">
        <v>2</v>
      </c>
      <c r="E3">
        <v>0.2</v>
      </c>
      <c r="F3">
        <v>0.45</v>
      </c>
      <c r="G3" s="7">
        <f t="shared" si="0"/>
        <v>0.49424000000000001</v>
      </c>
      <c r="H3">
        <f t="shared" ref="H3:H10" si="1">D3</f>
        <v>2</v>
      </c>
      <c r="J3" t="e" cm="1">
        <f t="array" aca="1" ref="J3" ca="1">INDIRECT(_xlfn.CONCAT(H3,"!Q3"))</f>
        <v>#VALUE!</v>
      </c>
      <c r="L3" s="13" t="s">
        <v>0</v>
      </c>
      <c r="M3" s="2">
        <v>0.2</v>
      </c>
      <c r="N3" s="5" t="e">
        <f ca="1">$J$2</f>
        <v>#VALUE!</v>
      </c>
      <c r="O3" s="5" t="e">
        <f ca="1">$J$3</f>
        <v>#VALUE!</v>
      </c>
      <c r="P3" s="5" t="e">
        <f ca="1">$J$4</f>
        <v>#VALUE!</v>
      </c>
    </row>
    <row r="4" spans="1:16" x14ac:dyDescent="0.5">
      <c r="D4">
        <v>3</v>
      </c>
      <c r="E4">
        <v>0.2</v>
      </c>
      <c r="F4">
        <v>0.7</v>
      </c>
      <c r="G4" s="7">
        <f t="shared" si="0"/>
        <v>0.76880999999999999</v>
      </c>
      <c r="H4">
        <f t="shared" si="1"/>
        <v>3</v>
      </c>
      <c r="J4" t="e" cm="1">
        <f t="array" aca="1" ref="J4" ca="1">INDIRECT(_xlfn.CONCAT(H4,"!Q3"))</f>
        <v>#VALUE!</v>
      </c>
      <c r="L4" s="13"/>
      <c r="M4" s="2">
        <v>0.45</v>
      </c>
      <c r="N4" s="5" t="e">
        <f ca="1">$J$5</f>
        <v>#VALUE!</v>
      </c>
      <c r="O4" s="5" t="e">
        <f ca="1">$J$6</f>
        <v>#VALUE!</v>
      </c>
      <c r="P4" s="5" t="e">
        <f ca="1">$J$7</f>
        <v>#VALUE!</v>
      </c>
    </row>
    <row r="5" spans="1:16" x14ac:dyDescent="0.5">
      <c r="A5" t="s">
        <v>10</v>
      </c>
      <c r="B5">
        <v>-1.9480000000000001E-2</v>
      </c>
      <c r="D5">
        <v>4</v>
      </c>
      <c r="E5">
        <v>0.45</v>
      </c>
      <c r="F5">
        <v>0.2</v>
      </c>
      <c r="G5" s="7">
        <f t="shared" si="0"/>
        <v>0.21965999999999999</v>
      </c>
      <c r="H5">
        <f t="shared" si="1"/>
        <v>4</v>
      </c>
      <c r="J5" t="e" cm="1">
        <f t="array" aca="1" ref="J5" ca="1">INDIRECT(_xlfn.CONCAT(H5,"!Q3"))</f>
        <v>#VALUE!</v>
      </c>
      <c r="L5" s="13"/>
      <c r="M5" s="2">
        <v>0.7</v>
      </c>
      <c r="N5" s="5" t="e">
        <f ca="1">$J$8</f>
        <v>#VALUE!</v>
      </c>
      <c r="O5" s="5" t="e">
        <f ca="1">$J$9</f>
        <v>#VALUE!</v>
      </c>
      <c r="P5" s="5" t="e">
        <f ca="1">$J$10</f>
        <v>#VALUE!</v>
      </c>
    </row>
    <row r="6" spans="1:16" x14ac:dyDescent="0.5">
      <c r="A6" t="s">
        <v>11</v>
      </c>
      <c r="B6">
        <v>-1.005E-2</v>
      </c>
      <c r="D6">
        <v>5</v>
      </c>
      <c r="E6">
        <v>0.45</v>
      </c>
      <c r="F6">
        <v>0.45</v>
      </c>
      <c r="G6" s="7">
        <f t="shared" si="0"/>
        <v>0.49424000000000001</v>
      </c>
      <c r="H6">
        <f t="shared" si="1"/>
        <v>5</v>
      </c>
      <c r="J6" t="e" cm="1">
        <f t="array" aca="1" ref="J6" ca="1">INDIRECT(_xlfn.CONCAT(H6,"!Q3"))</f>
        <v>#VALUE!</v>
      </c>
    </row>
    <row r="7" spans="1:16" x14ac:dyDescent="0.5">
      <c r="D7">
        <v>6</v>
      </c>
      <c r="E7">
        <v>0.45</v>
      </c>
      <c r="F7">
        <v>0.7</v>
      </c>
      <c r="G7" s="7">
        <f t="shared" si="0"/>
        <v>0.76880999999999999</v>
      </c>
      <c r="H7">
        <f t="shared" si="1"/>
        <v>6</v>
      </c>
      <c r="J7" t="e" cm="1">
        <f t="array" aca="1" ref="J7" ca="1">INDIRECT(_xlfn.CONCAT(H7,"!Q3"))</f>
        <v>#VALUE!</v>
      </c>
    </row>
    <row r="8" spans="1:16" x14ac:dyDescent="0.5">
      <c r="D8">
        <v>7</v>
      </c>
      <c r="E8">
        <v>0.7</v>
      </c>
      <c r="F8">
        <v>0.2</v>
      </c>
      <c r="G8" s="7">
        <f t="shared" si="0"/>
        <v>0.21965999999999999</v>
      </c>
      <c r="H8">
        <f t="shared" si="1"/>
        <v>7</v>
      </c>
      <c r="J8" t="e" cm="1">
        <f t="array" aca="1" ref="J8" ca="1">INDIRECT(_xlfn.CONCAT(H8,"!Q3"))</f>
        <v>#VALUE!</v>
      </c>
    </row>
    <row r="9" spans="1:16" x14ac:dyDescent="0.5">
      <c r="D9">
        <v>8</v>
      </c>
      <c r="E9">
        <v>0.7</v>
      </c>
      <c r="F9">
        <v>0.45</v>
      </c>
      <c r="G9" s="7">
        <f t="shared" si="0"/>
        <v>0.49424000000000001</v>
      </c>
      <c r="H9">
        <f t="shared" si="1"/>
        <v>8</v>
      </c>
      <c r="J9" t="e" cm="1">
        <f t="array" aca="1" ref="J9" ca="1">INDIRECT(_xlfn.CONCAT(H9,"!Q3"))</f>
        <v>#VALUE!</v>
      </c>
    </row>
    <row r="10" spans="1:16" x14ac:dyDescent="0.5">
      <c r="D10">
        <v>9</v>
      </c>
      <c r="E10">
        <v>0.7</v>
      </c>
      <c r="F10">
        <v>0.7</v>
      </c>
      <c r="G10" s="7">
        <f t="shared" si="0"/>
        <v>0.76880999999999999</v>
      </c>
      <c r="H10">
        <f t="shared" si="1"/>
        <v>9</v>
      </c>
      <c r="J10" t="e" cm="1">
        <f t="array" aca="1" ref="J10" ca="1">INDIRECT(_xlfn.CONCAT(H10,"!Q3"))</f>
        <v>#VALUE!</v>
      </c>
    </row>
    <row r="14" spans="1:16" x14ac:dyDescent="0.5">
      <c r="G14" s="4"/>
      <c r="H14" s="4"/>
      <c r="I14" s="4"/>
    </row>
    <row r="15" spans="1:16" x14ac:dyDescent="0.5">
      <c r="G15" s="4"/>
      <c r="H15" s="4"/>
      <c r="I15" s="4"/>
    </row>
    <row r="16" spans="1:16" x14ac:dyDescent="0.5">
      <c r="G16" s="4"/>
      <c r="H16" s="4"/>
      <c r="I16" s="4"/>
    </row>
    <row r="17" spans="7:9" x14ac:dyDescent="0.5">
      <c r="G17" s="4"/>
      <c r="H17" s="4"/>
      <c r="I17" s="4"/>
    </row>
    <row r="18" spans="7:9" x14ac:dyDescent="0.5">
      <c r="G18" s="4"/>
      <c r="H18" s="4"/>
      <c r="I18" s="4"/>
    </row>
    <row r="19" spans="7:9" x14ac:dyDescent="0.5">
      <c r="G19" s="4"/>
      <c r="H19" s="4"/>
      <c r="I19" s="4"/>
    </row>
    <row r="20" spans="7:9" x14ac:dyDescent="0.5">
      <c r="G20" s="4"/>
      <c r="H20" s="4"/>
      <c r="I20" s="4"/>
    </row>
    <row r="21" spans="7:9" x14ac:dyDescent="0.5">
      <c r="G21" s="4"/>
      <c r="H21" s="4"/>
      <c r="I21" s="4"/>
    </row>
    <row r="22" spans="7:9" x14ac:dyDescent="0.5">
      <c r="G22" s="4"/>
      <c r="H22" s="4"/>
      <c r="I22" s="4"/>
    </row>
  </sheetData>
  <mergeCells count="3">
    <mergeCell ref="L1:M2"/>
    <mergeCell ref="N1:P1"/>
    <mergeCell ref="L3:L5"/>
  </mergeCells>
  <phoneticPr fontId="2"/>
  <conditionalFormatting sqref="N3:P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403D-335F-4DE4-9FC3-020623AE3368}">
  <dimension ref="A1:C10"/>
  <sheetViews>
    <sheetView workbookViewId="0">
      <selection activeCell="D11" sqref="D11"/>
    </sheetView>
  </sheetViews>
  <sheetFormatPr defaultRowHeight="17.399999999999999" x14ac:dyDescent="0.5"/>
  <sheetData>
    <row r="1" spans="1:3" x14ac:dyDescent="0.5">
      <c r="A1" t="str">
        <f>設定・集計!E1</f>
        <v>転がり抵抗</v>
      </c>
      <c r="B1" t="str">
        <f>設定・集計!F1</f>
        <v>動摩擦係数</v>
      </c>
      <c r="C1" t="str">
        <f>設定・集計!J1</f>
        <v>安息角</v>
      </c>
    </row>
    <row r="2" spans="1:3" x14ac:dyDescent="0.5">
      <c r="A2">
        <f>設定・集計!E2</f>
        <v>0.2</v>
      </c>
      <c r="B2">
        <f>設定・集計!F2</f>
        <v>0.2</v>
      </c>
      <c r="C2" t="e">
        <f ca="1">設定・集計!J2</f>
        <v>#VALUE!</v>
      </c>
    </row>
    <row r="3" spans="1:3" x14ac:dyDescent="0.5">
      <c r="A3">
        <f>設定・集計!E3</f>
        <v>0.2</v>
      </c>
      <c r="B3">
        <f>設定・集計!F3</f>
        <v>0.45</v>
      </c>
      <c r="C3" t="e">
        <f ca="1">設定・集計!J3</f>
        <v>#VALUE!</v>
      </c>
    </row>
    <row r="4" spans="1:3" x14ac:dyDescent="0.5">
      <c r="A4">
        <f>設定・集計!E4</f>
        <v>0.2</v>
      </c>
      <c r="B4">
        <f>設定・集計!F4</f>
        <v>0.7</v>
      </c>
      <c r="C4" t="e">
        <f ca="1">設定・集計!J4</f>
        <v>#VALUE!</v>
      </c>
    </row>
    <row r="5" spans="1:3" x14ac:dyDescent="0.5">
      <c r="A5">
        <f>設定・集計!E5</f>
        <v>0.45</v>
      </c>
      <c r="B5">
        <f>設定・集計!F5</f>
        <v>0.2</v>
      </c>
      <c r="C5" t="e">
        <f ca="1">設定・集計!J5</f>
        <v>#VALUE!</v>
      </c>
    </row>
    <row r="6" spans="1:3" x14ac:dyDescent="0.5">
      <c r="A6">
        <f>設定・集計!E6</f>
        <v>0.45</v>
      </c>
      <c r="B6">
        <f>設定・集計!F6</f>
        <v>0.45</v>
      </c>
      <c r="C6" t="e">
        <f ca="1">設定・集計!J6</f>
        <v>#VALUE!</v>
      </c>
    </row>
    <row r="7" spans="1:3" x14ac:dyDescent="0.5">
      <c r="A7">
        <f>設定・集計!E7</f>
        <v>0.45</v>
      </c>
      <c r="B7">
        <f>設定・集計!F7</f>
        <v>0.7</v>
      </c>
      <c r="C7" t="e">
        <f ca="1">設定・集計!J7</f>
        <v>#VALUE!</v>
      </c>
    </row>
    <row r="8" spans="1:3" x14ac:dyDescent="0.5">
      <c r="A8">
        <f>設定・集計!E8</f>
        <v>0.7</v>
      </c>
      <c r="B8">
        <f>設定・集計!F8</f>
        <v>0.2</v>
      </c>
      <c r="C8" t="e">
        <f ca="1">設定・集計!J8</f>
        <v>#VALUE!</v>
      </c>
    </row>
    <row r="9" spans="1:3" x14ac:dyDescent="0.5">
      <c r="A9">
        <f>設定・集計!E9</f>
        <v>0.7</v>
      </c>
      <c r="B9">
        <f>設定・集計!F9</f>
        <v>0.45</v>
      </c>
      <c r="C9" t="e">
        <f ca="1">設定・集計!J9</f>
        <v>#VALUE!</v>
      </c>
    </row>
    <row r="10" spans="1:3" x14ac:dyDescent="0.5">
      <c r="A10">
        <f>設定・集計!E10</f>
        <v>0.7</v>
      </c>
      <c r="B10">
        <f>設定・集計!F10</f>
        <v>0.7</v>
      </c>
      <c r="C10" t="e">
        <f ca="1">設定・集計!J10</f>
        <v>#VALUE!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80E6-7A9B-429D-B208-DBEF0BEEFE79}">
  <dimension ref="A1:Q128"/>
  <sheetViews>
    <sheetView tabSelected="1" zoomScale="90" zoomScaleNormal="90" workbookViewId="0">
      <selection activeCell="K14" sqref="K14"/>
    </sheetView>
  </sheetViews>
  <sheetFormatPr defaultRowHeight="17.399999999999999" x14ac:dyDescent="0.5"/>
  <sheetData>
    <row r="1" spans="2:17" x14ac:dyDescent="0.5">
      <c r="H1" t="s">
        <v>6</v>
      </c>
      <c r="K1">
        <f>A1</f>
        <v>0</v>
      </c>
      <c r="L1">
        <f t="shared" ref="L1:N1" si="0">B1</f>
        <v>0</v>
      </c>
      <c r="M1">
        <f t="shared" si="0"/>
        <v>0</v>
      </c>
      <c r="N1">
        <f t="shared" si="0"/>
        <v>0</v>
      </c>
      <c r="P1" t="s">
        <v>15</v>
      </c>
    </row>
    <row r="2" spans="2:17" x14ac:dyDescent="0.5">
      <c r="B2" s="3"/>
      <c r="H2" t="s">
        <v>4</v>
      </c>
      <c r="I2">
        <f>設定・集計!$B$5</f>
        <v>-1.9480000000000001E-2</v>
      </c>
      <c r="K2" t="e" cm="1" vm="1">
        <f t="array" ref="K2">_xlfn._xlws.FILTER(A2:D200,(A2:A200&gt;=$I$2)*(A2:A200&lt;=$I$3))</f>
        <v>#VALUE!</v>
      </c>
      <c r="P2" t="s">
        <v>16</v>
      </c>
      <c r="Q2" t="e">
        <f>SLOPE(N2:N100,K2:K100)</f>
        <v>#VALUE!</v>
      </c>
    </row>
    <row r="3" spans="2:17" x14ac:dyDescent="0.5">
      <c r="B3" s="3"/>
      <c r="H3" t="s">
        <v>5</v>
      </c>
      <c r="I3">
        <f>設定・集計!$B$6</f>
        <v>-1.005E-2</v>
      </c>
      <c r="P3" t="s">
        <v>7</v>
      </c>
      <c r="Q3" t="e">
        <f>DEGREES(ATAN(Q2))</f>
        <v>#VALUE!</v>
      </c>
    </row>
    <row r="65" spans="1:1" x14ac:dyDescent="0.5">
      <c r="A65" s="3"/>
    </row>
    <row r="127" spans="2:2" x14ac:dyDescent="0.5">
      <c r="B127" s="3"/>
    </row>
    <row r="128" spans="2:2" x14ac:dyDescent="0.5">
      <c r="B128" s="3"/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FCAF-1999-4C7F-B236-6CCE323C3138}">
  <dimension ref="A1:Q128"/>
  <sheetViews>
    <sheetView zoomScaleNormal="100" workbookViewId="0">
      <selection sqref="A1:F1048576"/>
    </sheetView>
  </sheetViews>
  <sheetFormatPr defaultRowHeight="17.399999999999999" x14ac:dyDescent="0.5"/>
  <sheetData>
    <row r="1" spans="2:17" x14ac:dyDescent="0.5">
      <c r="H1" t="s">
        <v>6</v>
      </c>
      <c r="K1">
        <f>A1</f>
        <v>0</v>
      </c>
      <c r="L1">
        <f t="shared" ref="L1:N1" si="0">B1</f>
        <v>0</v>
      </c>
      <c r="M1">
        <f t="shared" si="0"/>
        <v>0</v>
      </c>
      <c r="N1">
        <f t="shared" si="0"/>
        <v>0</v>
      </c>
      <c r="P1" t="s">
        <v>15</v>
      </c>
    </row>
    <row r="2" spans="2:17" x14ac:dyDescent="0.5">
      <c r="B2" s="3"/>
      <c r="H2" t="s">
        <v>4</v>
      </c>
      <c r="I2">
        <f>設定・集計!$B$5</f>
        <v>-1.9480000000000001E-2</v>
      </c>
      <c r="K2" t="e" cm="1" vm="1">
        <f t="array" ref="K2">_xlfn._xlws.FILTER(A2:D200,(A2:A200&gt;=$I$2)*(A2:A200&lt;=$I$3))</f>
        <v>#VALUE!</v>
      </c>
      <c r="P2" t="s">
        <v>16</v>
      </c>
      <c r="Q2" t="e">
        <f>SLOPE(N2:N100,K2:K100)</f>
        <v>#VALUE!</v>
      </c>
    </row>
    <row r="3" spans="2:17" x14ac:dyDescent="0.5">
      <c r="B3" s="3"/>
      <c r="H3" t="s">
        <v>5</v>
      </c>
      <c r="I3">
        <f>設定・集計!$B$6</f>
        <v>-1.005E-2</v>
      </c>
      <c r="P3" t="s">
        <v>7</v>
      </c>
      <c r="Q3" t="e">
        <f>DEGREES(ATAN(Q2))</f>
        <v>#VALUE!</v>
      </c>
    </row>
    <row r="4" spans="2:17" x14ac:dyDescent="0.5">
      <c r="B4" s="3"/>
    </row>
    <row r="9" spans="2:17" x14ac:dyDescent="0.5">
      <c r="B9" s="3"/>
    </row>
    <row r="65" spans="1:1" x14ac:dyDescent="0.5">
      <c r="A65" s="3"/>
    </row>
    <row r="121" spans="2:2" x14ac:dyDescent="0.5">
      <c r="B121" s="3"/>
    </row>
    <row r="126" spans="2:2" x14ac:dyDescent="0.5">
      <c r="B126" s="3"/>
    </row>
    <row r="127" spans="2:2" x14ac:dyDescent="0.5">
      <c r="B127" s="3"/>
    </row>
    <row r="128" spans="2:2" x14ac:dyDescent="0.5">
      <c r="B128" s="3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9F58-0F3F-4078-BFBB-034B17D80B63}">
  <dimension ref="A1:Q128"/>
  <sheetViews>
    <sheetView zoomScaleNormal="100" workbookViewId="0">
      <selection sqref="A1:F1048576"/>
    </sheetView>
  </sheetViews>
  <sheetFormatPr defaultRowHeight="17.399999999999999" x14ac:dyDescent="0.5"/>
  <sheetData>
    <row r="1" spans="2:17" x14ac:dyDescent="0.5">
      <c r="H1" t="s">
        <v>6</v>
      </c>
      <c r="K1">
        <f>A1</f>
        <v>0</v>
      </c>
      <c r="L1">
        <f t="shared" ref="L1:N1" si="0">B1</f>
        <v>0</v>
      </c>
      <c r="M1">
        <f t="shared" si="0"/>
        <v>0</v>
      </c>
      <c r="N1">
        <f t="shared" si="0"/>
        <v>0</v>
      </c>
      <c r="P1" t="s">
        <v>15</v>
      </c>
    </row>
    <row r="2" spans="2:17" x14ac:dyDescent="0.5">
      <c r="B2" s="3"/>
      <c r="H2" t="s">
        <v>4</v>
      </c>
      <c r="I2">
        <f>設定・集計!$B$5</f>
        <v>-1.9480000000000001E-2</v>
      </c>
      <c r="K2" t="e" cm="1" vm="1">
        <f t="array" ref="K2">_xlfn._xlws.FILTER(A2:D200,(A2:A200&gt;=$I$2)*(A2:A200&lt;=$I$3))</f>
        <v>#VALUE!</v>
      </c>
      <c r="P2" t="s">
        <v>16</v>
      </c>
      <c r="Q2" t="e">
        <f>SLOPE(N2:N100,K2:K100)</f>
        <v>#VALUE!</v>
      </c>
    </row>
    <row r="3" spans="2:17" x14ac:dyDescent="0.5">
      <c r="H3" t="s">
        <v>5</v>
      </c>
      <c r="I3">
        <f>設定・集計!$B$6</f>
        <v>-1.005E-2</v>
      </c>
      <c r="P3" t="s">
        <v>7</v>
      </c>
      <c r="Q3" t="e">
        <f>DEGREES(ATAN(Q2))</f>
        <v>#VALUE!</v>
      </c>
    </row>
    <row r="8" spans="2:17" x14ac:dyDescent="0.5">
      <c r="B8" s="3"/>
    </row>
    <row r="65" spans="1:1" x14ac:dyDescent="0.5">
      <c r="A65" s="3"/>
    </row>
    <row r="122" spans="2:2" x14ac:dyDescent="0.5">
      <c r="B122" s="3"/>
    </row>
    <row r="128" spans="2:2" x14ac:dyDescent="0.5">
      <c r="B128" s="3"/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7F0A-B47C-48C6-A892-FF4896B26CC9}">
  <dimension ref="A1:Q129"/>
  <sheetViews>
    <sheetView zoomScaleNormal="100" workbookViewId="0">
      <selection sqref="A1:F1048576"/>
    </sheetView>
  </sheetViews>
  <sheetFormatPr defaultRowHeight="17.399999999999999" x14ac:dyDescent="0.5"/>
  <sheetData>
    <row r="1" spans="2:17" x14ac:dyDescent="0.5">
      <c r="H1" t="s">
        <v>6</v>
      </c>
      <c r="K1">
        <f>A1</f>
        <v>0</v>
      </c>
      <c r="L1">
        <f t="shared" ref="L1:N1" si="0">B1</f>
        <v>0</v>
      </c>
      <c r="M1">
        <f t="shared" si="0"/>
        <v>0</v>
      </c>
      <c r="N1">
        <f t="shared" si="0"/>
        <v>0</v>
      </c>
      <c r="P1" t="s">
        <v>15</v>
      </c>
    </row>
    <row r="2" spans="2:17" x14ac:dyDescent="0.5">
      <c r="H2" t="s">
        <v>4</v>
      </c>
      <c r="I2">
        <f>設定・集計!$B$5</f>
        <v>-1.9480000000000001E-2</v>
      </c>
      <c r="K2" t="e" cm="1" vm="1">
        <f t="array" ref="K2">_xlfn._xlws.FILTER(A2:D200,(A2:A200&gt;=$I$2)*(A2:A200&lt;=$I$3))</f>
        <v>#VALUE!</v>
      </c>
      <c r="P2" t="s">
        <v>16</v>
      </c>
      <c r="Q2" t="e">
        <f>SLOPE(N2:N100,K2:K100)</f>
        <v>#VALUE!</v>
      </c>
    </row>
    <row r="3" spans="2:17" x14ac:dyDescent="0.5">
      <c r="B3" s="3"/>
      <c r="H3" t="s">
        <v>5</v>
      </c>
      <c r="I3">
        <f>設定・集計!$B$6</f>
        <v>-1.005E-2</v>
      </c>
      <c r="P3" t="s">
        <v>7</v>
      </c>
      <c r="Q3" t="e">
        <f>DEGREES(ATAN(Q2))</f>
        <v>#VALUE!</v>
      </c>
    </row>
    <row r="4" spans="2:17" x14ac:dyDescent="0.5">
      <c r="B4" s="3"/>
    </row>
    <row r="66" spans="1:1" x14ac:dyDescent="0.5">
      <c r="A66" s="3"/>
    </row>
    <row r="128" spans="2:2" x14ac:dyDescent="0.5">
      <c r="B128" s="3"/>
    </row>
    <row r="129" spans="2:2" x14ac:dyDescent="0.5">
      <c r="B129" s="3"/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D7A2-ECAB-4F55-9ACD-F68B0C6DAFAA}">
  <dimension ref="A1:Q129"/>
  <sheetViews>
    <sheetView zoomScaleNormal="100" workbookViewId="0">
      <selection sqref="A1:F1048576"/>
    </sheetView>
  </sheetViews>
  <sheetFormatPr defaultRowHeight="17.399999999999999" x14ac:dyDescent="0.5"/>
  <sheetData>
    <row r="1" spans="2:17" x14ac:dyDescent="0.5">
      <c r="H1" t="s">
        <v>6</v>
      </c>
      <c r="K1">
        <f>A1</f>
        <v>0</v>
      </c>
      <c r="L1">
        <f t="shared" ref="L1:N1" si="0">B1</f>
        <v>0</v>
      </c>
      <c r="M1">
        <f t="shared" si="0"/>
        <v>0</v>
      </c>
      <c r="N1">
        <f t="shared" si="0"/>
        <v>0</v>
      </c>
      <c r="P1" t="s">
        <v>15</v>
      </c>
    </row>
    <row r="2" spans="2:17" x14ac:dyDescent="0.5">
      <c r="F2" s="3"/>
      <c r="H2" t="s">
        <v>4</v>
      </c>
      <c r="I2">
        <f>設定・集計!$B$5</f>
        <v>-1.9480000000000001E-2</v>
      </c>
      <c r="K2" t="e" cm="1" vm="1">
        <f t="array" ref="K2">_xlfn._xlws.FILTER(A2:D200,(A2:A200&gt;=$I$2)*(A2:A200&lt;=$I$3))</f>
        <v>#VALUE!</v>
      </c>
      <c r="P2" t="s">
        <v>16</v>
      </c>
      <c r="Q2" t="e">
        <f>SLOPE(N2:N100,K2:K100)</f>
        <v>#VALUE!</v>
      </c>
    </row>
    <row r="3" spans="2:17" x14ac:dyDescent="0.5">
      <c r="B3" s="3"/>
      <c r="H3" t="s">
        <v>5</v>
      </c>
      <c r="I3">
        <f>設定・集計!$B$6</f>
        <v>-1.005E-2</v>
      </c>
      <c r="P3" t="s">
        <v>7</v>
      </c>
      <c r="Q3" t="e">
        <f>DEGREES(ATAN(Q2))</f>
        <v>#VALUE!</v>
      </c>
    </row>
    <row r="5" spans="2:17" x14ac:dyDescent="0.5">
      <c r="B5" s="3"/>
    </row>
    <row r="66" spans="1:1" x14ac:dyDescent="0.5">
      <c r="A66" s="3"/>
    </row>
    <row r="127" spans="2:2" x14ac:dyDescent="0.5">
      <c r="B127" s="3"/>
    </row>
    <row r="129" spans="2:2" x14ac:dyDescent="0.5">
      <c r="B129" s="3"/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AC27-8CDA-4301-82B8-592184C87321}">
  <dimension ref="A1:Q129"/>
  <sheetViews>
    <sheetView zoomScaleNormal="100" workbookViewId="0">
      <selection sqref="A1:F1048576"/>
    </sheetView>
  </sheetViews>
  <sheetFormatPr defaultRowHeight="17.399999999999999" x14ac:dyDescent="0.5"/>
  <sheetData>
    <row r="1" spans="2:17" x14ac:dyDescent="0.5">
      <c r="H1" t="s">
        <v>6</v>
      </c>
      <c r="K1">
        <f>A1</f>
        <v>0</v>
      </c>
      <c r="L1">
        <f t="shared" ref="L1:N1" si="0">B1</f>
        <v>0</v>
      </c>
      <c r="M1">
        <f t="shared" si="0"/>
        <v>0</v>
      </c>
      <c r="N1">
        <f t="shared" si="0"/>
        <v>0</v>
      </c>
      <c r="P1" t="s">
        <v>15</v>
      </c>
    </row>
    <row r="2" spans="2:17" x14ac:dyDescent="0.5">
      <c r="F2" s="3"/>
      <c r="H2" t="s">
        <v>4</v>
      </c>
      <c r="I2">
        <f>設定・集計!$B$5</f>
        <v>-1.9480000000000001E-2</v>
      </c>
      <c r="K2" t="e" cm="1" vm="1">
        <f t="array" ref="K2">_xlfn._xlws.FILTER(A2:D200,(A2:A200&gt;=$I$2)*(A2:A200&lt;=$I$3))</f>
        <v>#VALUE!</v>
      </c>
      <c r="P2" t="s">
        <v>16</v>
      </c>
      <c r="Q2" t="e">
        <f>SLOPE(N2:N100,K2:K100)</f>
        <v>#VALUE!</v>
      </c>
    </row>
    <row r="3" spans="2:17" x14ac:dyDescent="0.5">
      <c r="B3" s="3"/>
      <c r="H3" t="s">
        <v>5</v>
      </c>
      <c r="I3">
        <f>設定・集計!$B$6</f>
        <v>-1.005E-2</v>
      </c>
      <c r="P3" t="s">
        <v>7</v>
      </c>
      <c r="Q3" t="e">
        <f>DEGREES(ATAN(Q2))</f>
        <v>#VALUE!</v>
      </c>
    </row>
    <row r="4" spans="2:17" x14ac:dyDescent="0.5">
      <c r="B4" s="3"/>
    </row>
    <row r="66" spans="1:1" x14ac:dyDescent="0.5">
      <c r="A66" s="3"/>
    </row>
    <row r="128" spans="2:2" x14ac:dyDescent="0.5">
      <c r="B128" s="3"/>
    </row>
    <row r="129" spans="2:2" x14ac:dyDescent="0.5">
      <c r="B129" s="3"/>
    </row>
  </sheetData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2AC2-B7EC-44B9-8F37-574109BBC589}">
  <dimension ref="A1:Q66"/>
  <sheetViews>
    <sheetView zoomScaleNormal="100" workbookViewId="0">
      <selection sqref="A1:F1048576"/>
    </sheetView>
  </sheetViews>
  <sheetFormatPr defaultRowHeight="17.399999999999999" x14ac:dyDescent="0.5"/>
  <sheetData>
    <row r="1" spans="8:17" x14ac:dyDescent="0.5">
      <c r="H1" t="s">
        <v>6</v>
      </c>
      <c r="K1">
        <f>A1</f>
        <v>0</v>
      </c>
      <c r="L1">
        <f t="shared" ref="L1:N1" si="0">B1</f>
        <v>0</v>
      </c>
      <c r="M1">
        <f t="shared" si="0"/>
        <v>0</v>
      </c>
      <c r="N1">
        <f t="shared" si="0"/>
        <v>0</v>
      </c>
      <c r="P1" t="s">
        <v>15</v>
      </c>
    </row>
    <row r="2" spans="8:17" x14ac:dyDescent="0.5">
      <c r="H2" t="s">
        <v>4</v>
      </c>
      <c r="I2">
        <f>設定・集計!$B$5</f>
        <v>-1.9480000000000001E-2</v>
      </c>
      <c r="K2" t="e" cm="1" vm="1">
        <f t="array" ref="K2">_xlfn._xlws.FILTER(A2:D200,(A2:A200&gt;=$I$2)*(A2:A200&lt;=$I$3))</f>
        <v>#VALUE!</v>
      </c>
      <c r="P2" t="s">
        <v>16</v>
      </c>
      <c r="Q2" t="e">
        <f>SLOPE(N2:N100,K2:K100)</f>
        <v>#VALUE!</v>
      </c>
    </row>
    <row r="3" spans="8:17" x14ac:dyDescent="0.5">
      <c r="H3" t="s">
        <v>5</v>
      </c>
      <c r="I3">
        <f>設定・集計!$B$6</f>
        <v>-1.005E-2</v>
      </c>
      <c r="P3" t="s">
        <v>7</v>
      </c>
      <c r="Q3" t="e">
        <f>DEGREES(ATAN(Q2))</f>
        <v>#VALUE!</v>
      </c>
    </row>
    <row r="66" spans="1:1" x14ac:dyDescent="0.5">
      <c r="A66" s="3"/>
    </row>
  </sheetData>
  <phoneticPr fontId="2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6BF6-F13F-4681-863F-61FEFA62ADF8}">
  <dimension ref="A1:Q129"/>
  <sheetViews>
    <sheetView zoomScaleNormal="100" workbookViewId="0">
      <selection activeCell="F1" sqref="A1:F1048576"/>
    </sheetView>
  </sheetViews>
  <sheetFormatPr defaultRowHeight="17.399999999999999" x14ac:dyDescent="0.5"/>
  <sheetData>
    <row r="1" spans="2:17" x14ac:dyDescent="0.5">
      <c r="H1" t="s">
        <v>6</v>
      </c>
      <c r="K1">
        <f>A1</f>
        <v>0</v>
      </c>
      <c r="L1">
        <f t="shared" ref="L1:N1" si="0">B1</f>
        <v>0</v>
      </c>
      <c r="M1">
        <f t="shared" si="0"/>
        <v>0</v>
      </c>
      <c r="N1">
        <f t="shared" si="0"/>
        <v>0</v>
      </c>
      <c r="P1" t="s">
        <v>15</v>
      </c>
    </row>
    <row r="2" spans="2:17" x14ac:dyDescent="0.5">
      <c r="H2" t="s">
        <v>4</v>
      </c>
      <c r="I2">
        <f>設定・集計!$B$5</f>
        <v>-1.9480000000000001E-2</v>
      </c>
      <c r="K2" t="e" cm="1" vm="1">
        <f t="array" ref="K2">_xlfn._xlws.FILTER(A2:D200,(A2:A200&gt;=$I$2)*(A2:A200&lt;=$I$3))</f>
        <v>#VALUE!</v>
      </c>
      <c r="P2" t="s">
        <v>16</v>
      </c>
      <c r="Q2" t="e">
        <f>SLOPE(N2:N100,K2:K100)</f>
        <v>#VALUE!</v>
      </c>
    </row>
    <row r="3" spans="2:17" x14ac:dyDescent="0.5">
      <c r="B3" s="3"/>
      <c r="H3" t="s">
        <v>5</v>
      </c>
      <c r="I3">
        <f>設定・集計!$B$6</f>
        <v>-1.005E-2</v>
      </c>
      <c r="P3" t="s">
        <v>7</v>
      </c>
      <c r="Q3" t="e">
        <f>DEGREES(ATAN(Q2))</f>
        <v>#VALUE!</v>
      </c>
    </row>
    <row r="4" spans="2:17" x14ac:dyDescent="0.5">
      <c r="B4" s="3"/>
    </row>
    <row r="6" spans="2:17" x14ac:dyDescent="0.5">
      <c r="B6" s="3"/>
    </row>
    <row r="10" spans="2:17" x14ac:dyDescent="0.5">
      <c r="B10" s="3"/>
    </row>
    <row r="66" spans="1:1" x14ac:dyDescent="0.5">
      <c r="A66" s="3"/>
    </row>
    <row r="122" spans="2:2" x14ac:dyDescent="0.5">
      <c r="B122" s="3"/>
    </row>
    <row r="126" spans="2:2" x14ac:dyDescent="0.5">
      <c r="B126" s="3"/>
    </row>
    <row r="128" spans="2:2" x14ac:dyDescent="0.5">
      <c r="B128" s="3"/>
    </row>
    <row r="129" spans="2:2" x14ac:dyDescent="0.5">
      <c r="B129" s="3"/>
    </row>
  </sheetData>
  <phoneticPr fontId="2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F853-81D1-4975-B831-1F0EF2F302AE}">
  <dimension ref="A1:Q129"/>
  <sheetViews>
    <sheetView zoomScaleNormal="100" workbookViewId="0">
      <selection activeCell="F1" sqref="A1:F1048576"/>
    </sheetView>
  </sheetViews>
  <sheetFormatPr defaultRowHeight="17.399999999999999" x14ac:dyDescent="0.5"/>
  <sheetData>
    <row r="1" spans="2:17" x14ac:dyDescent="0.5">
      <c r="H1" t="s">
        <v>6</v>
      </c>
      <c r="K1">
        <f>A1</f>
        <v>0</v>
      </c>
      <c r="L1">
        <f t="shared" ref="L1:N1" si="0">B1</f>
        <v>0</v>
      </c>
      <c r="M1">
        <f t="shared" si="0"/>
        <v>0</v>
      </c>
      <c r="N1">
        <f t="shared" si="0"/>
        <v>0</v>
      </c>
      <c r="P1" t="s">
        <v>15</v>
      </c>
    </row>
    <row r="2" spans="2:17" x14ac:dyDescent="0.5">
      <c r="H2" t="s">
        <v>4</v>
      </c>
      <c r="I2">
        <f>設定・集計!$B$5</f>
        <v>-1.9480000000000001E-2</v>
      </c>
      <c r="K2" t="e" cm="1" vm="1">
        <f t="array" ref="K2">_xlfn._xlws.FILTER(A2:D200,(A2:A200&gt;=$I$2)*(A2:A200&lt;=$I$3))</f>
        <v>#VALUE!</v>
      </c>
      <c r="P2" t="s">
        <v>16</v>
      </c>
      <c r="Q2" t="e">
        <f>SLOPE(N2:N100,K2:K100)</f>
        <v>#VALUE!</v>
      </c>
    </row>
    <row r="3" spans="2:17" x14ac:dyDescent="0.5">
      <c r="B3" s="3"/>
      <c r="H3" t="s">
        <v>5</v>
      </c>
      <c r="I3">
        <f>設定・集計!$B$6</f>
        <v>-1.005E-2</v>
      </c>
      <c r="P3" t="s">
        <v>7</v>
      </c>
      <c r="Q3" t="e">
        <f>DEGREES(ATAN(Q2))</f>
        <v>#VALUE!</v>
      </c>
    </row>
    <row r="4" spans="2:17" x14ac:dyDescent="0.5">
      <c r="B4" s="3"/>
    </row>
    <row r="66" spans="1:1" x14ac:dyDescent="0.5">
      <c r="A66" s="3"/>
    </row>
    <row r="128" spans="2:2" x14ac:dyDescent="0.5">
      <c r="B128" s="3"/>
    </row>
    <row r="129" spans="2:2" x14ac:dyDescent="0.5">
      <c r="B129" s="3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9d5034-2dca-492f-a527-ac4ced818b84" xsi:nil="true"/>
    <lcf76f155ced4ddcb4097134ff3c332f xmlns="632c47a9-4187-4404-bc25-9bb4a179e02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2997FA6CD98484A88E629966840A688" ma:contentTypeVersion="15" ma:contentTypeDescription="新しいドキュメントを作成します。" ma:contentTypeScope="" ma:versionID="e3feeed1ab8c8cc0127eb7931f33a479">
  <xsd:schema xmlns:xsd="http://www.w3.org/2001/XMLSchema" xmlns:xs="http://www.w3.org/2001/XMLSchema" xmlns:p="http://schemas.microsoft.com/office/2006/metadata/properties" xmlns:ns2="632c47a9-4187-4404-bc25-9bb4a179e02d" xmlns:ns3="8f9d5034-2dca-492f-a527-ac4ced818b84" targetNamespace="http://schemas.microsoft.com/office/2006/metadata/properties" ma:root="true" ma:fieldsID="dc87944d69c5aa924478ef0aa95dd7d2" ns2:_="" ns3:_="">
    <xsd:import namespace="632c47a9-4187-4404-bc25-9bb4a179e02d"/>
    <xsd:import namespace="8f9d5034-2dca-492f-a527-ac4ced818b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2c47a9-4187-4404-bc25-9bb4a179e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ce391acf-b2a8-4a1c-9c03-161b1cee9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9d5034-2dca-492f-a527-ac4ced818b8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80d9ced-81e8-4440-aeaf-cf48472a1d42}" ma:internalName="TaxCatchAll" ma:showField="CatchAllData" ma:web="8f9d5034-2dca-492f-a527-ac4ced818b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0F506B-31A4-44FB-8B42-7C4D3259B9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81A75F-C6AF-4088-8972-4112ADB17855}">
  <ds:schemaRefs>
    <ds:schemaRef ds:uri="632c47a9-4187-4404-bc25-9bb4a179e02d"/>
    <ds:schemaRef ds:uri="http://schemas.microsoft.com/office/infopath/2007/PartnerControls"/>
    <ds:schemaRef ds:uri="8f9d5034-2dca-492f-a527-ac4ced818b84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26D4359-E1E0-49C8-8D0F-5E0E86C772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2c47a9-4187-4404-bc25-9bb4a179e02d"/>
    <ds:schemaRef ds:uri="8f9d5034-2dca-492f-a527-ac4ced818b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863f5d6-4760-4589-be9c-42f82e075739}" enabled="0" method="" siteId="{4863f5d6-4760-4589-be9c-42f82e07573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設定・集計</vt:lpstr>
      <vt:lpstr>csv出力用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Kusaka Ayumi (草鹿 あゆみ)</dc:creator>
  <cp:lastModifiedBy>YOSHIMURA KANAKO (吉村 佳奈子)</cp:lastModifiedBy>
  <dcterms:created xsi:type="dcterms:W3CDTF">2026-03-12T00:02:40Z</dcterms:created>
  <dcterms:modified xsi:type="dcterms:W3CDTF">2026-09-01T05:11:40Z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0x01010032997FA6CD98484A88E629966840A688</vt:lpwstr>
  </property>
  <property fmtid="{D5CDD505-2E9C-101B-9397-08002B2CF9AE}" pid="3" name="MediaServiceImageTags">
    <vt:lpwstr/>
  </property>
</Properties>
</file>